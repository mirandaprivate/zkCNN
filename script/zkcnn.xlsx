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k\Desktop\"/>
    </mc:Choice>
  </mc:AlternateContent>
  <xr:revisionPtr revIDLastSave="0" documentId="13_ncr:1_{EDE940DD-DD45-420B-A780-BE0D50EB197E}" xr6:coauthVersionLast="47" xr6:coauthVersionMax="47" xr10:uidLastSave="{00000000-0000-0000-0000-000000000000}"/>
  <bookViews>
    <workbookView xWindow="63450" yWindow="22380" windowWidth="21345" windowHeight="15915" xr2:uid="{AD51ACB4-B6D6-49F8-96BB-63E102A4E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C16" i="1"/>
  <c r="D16" i="1"/>
  <c r="D15" i="1"/>
  <c r="B16" i="1"/>
  <c r="E16" i="1"/>
  <c r="C15" i="1"/>
  <c r="C18" i="1" s="1"/>
  <c r="B15" i="1"/>
  <c r="B18" i="1" l="1"/>
</calcChain>
</file>

<file path=xl/sharedStrings.xml><?xml version="1.0" encoding="utf-8"?>
<sst xmlns="http://schemas.openxmlformats.org/spreadsheetml/2006/main" count="24" uniqueCount="7">
  <si>
    <t>prover</t>
    <phoneticPr fontId="1" type="noConversion"/>
  </si>
  <si>
    <t>proof</t>
    <phoneticPr fontId="1" type="noConversion"/>
  </si>
  <si>
    <t>verify</t>
    <phoneticPr fontId="1" type="noConversion"/>
  </si>
  <si>
    <t>gkr</t>
    <phoneticPr fontId="1" type="noConversion"/>
  </si>
  <si>
    <t>poly</t>
    <phoneticPr fontId="1" type="noConversion"/>
  </si>
  <si>
    <t>RAM MB</t>
    <phoneticPr fontId="1" type="noConversion"/>
  </si>
  <si>
    <t>proof KB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</si>
</sst>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A245-BBE1-44D2-9242-06D314567D17}">
  <dimension ref="A1:E18"/>
  <sheetViews>
    <sheetView tabSelected="1" workbookViewId="0">
      <selection activeCell="E13" sqref="E13"/>
    </sheetView>
  </sheetViews>
  <sheetFormatPr defaultRowHeight="14" x14ac:dyDescent="0.3"/>
  <cols>
    <col min="5" max="5" width="9.1640625" bestFit="1" customWidth="1"/>
  </cols>
  <sheetData>
    <row r="1" spans="1:5" x14ac:dyDescent="0.3">
      <c r="A1">
        <v>512</v>
      </c>
      <c r="B1" t="s">
        <v>0</v>
      </c>
      <c r="C1" t="s">
        <v>6</v>
      </c>
      <c r="D1" t="s">
        <v>2</v>
      </c>
      <c r="E1" t="s">
        <v>5</v>
      </c>
    </row>
    <row r="2" spans="1:5" x14ac:dyDescent="0.3">
      <c r="A2" t="s">
        <v>3</v>
      </c>
      <c r="B2" s="2">
        <v>203.441813</v>
      </c>
      <c r="C2" s="2">
        <v>3391.28125</v>
      </c>
      <c r="D2" s="2">
        <v>0.198577</v>
      </c>
      <c r="E2" s="2"/>
    </row>
    <row r="3" spans="1:5" x14ac:dyDescent="0.3">
      <c r="A3" t="s">
        <v>4</v>
      </c>
      <c r="B3" s="2">
        <v>659.45255899999995</v>
      </c>
      <c r="C3" s="2">
        <v>1538.375</v>
      </c>
      <c r="D3" s="2">
        <v>0.17938999999999999</v>
      </c>
      <c r="E3" s="2">
        <v>321612</v>
      </c>
    </row>
    <row r="5" spans="1:5" x14ac:dyDescent="0.3">
      <c r="A5">
        <v>256</v>
      </c>
      <c r="B5" t="s">
        <v>0</v>
      </c>
      <c r="C5" t="s">
        <v>1</v>
      </c>
      <c r="D5" t="s">
        <v>2</v>
      </c>
      <c r="E5" t="s">
        <v>5</v>
      </c>
    </row>
    <row r="6" spans="1:5" x14ac:dyDescent="0.3">
      <c r="A6" t="s">
        <v>3</v>
      </c>
      <c r="B6" s="2">
        <v>90.373392999999993</v>
      </c>
      <c r="C6" s="2">
        <v>1695.1875</v>
      </c>
      <c r="D6" s="2">
        <v>0.16813600000000001</v>
      </c>
      <c r="E6" s="2"/>
    </row>
    <row r="7" spans="1:5" x14ac:dyDescent="0.3">
      <c r="A7" t="s">
        <v>4</v>
      </c>
      <c r="B7" s="2">
        <v>645.93102199999998</v>
      </c>
      <c r="C7" s="2">
        <v>1538.375</v>
      </c>
      <c r="D7" s="2">
        <v>0.141427</v>
      </c>
      <c r="E7" s="2">
        <v>161303</v>
      </c>
    </row>
    <row r="9" spans="1:5" x14ac:dyDescent="0.3">
      <c r="A9">
        <v>128</v>
      </c>
      <c r="B9" t="s">
        <v>0</v>
      </c>
      <c r="C9" t="s">
        <v>1</v>
      </c>
      <c r="D9" t="s">
        <v>2</v>
      </c>
      <c r="E9" t="s">
        <v>5</v>
      </c>
    </row>
    <row r="10" spans="1:5" x14ac:dyDescent="0.3">
      <c r="A10" t="s">
        <v>3</v>
      </c>
      <c r="B10" s="2">
        <v>40.813606</v>
      </c>
      <c r="C10" s="2">
        <v>847.09375</v>
      </c>
      <c r="D10" s="2">
        <v>8.8793999999999998E-2</v>
      </c>
      <c r="E10" s="2"/>
    </row>
    <row r="11" spans="1:5" x14ac:dyDescent="0.3">
      <c r="A11" t="s">
        <v>4</v>
      </c>
      <c r="B11" s="2">
        <v>172.68569600000001</v>
      </c>
      <c r="C11" s="2">
        <v>770.21875</v>
      </c>
      <c r="D11" s="2">
        <v>8.9958999999999997E-2</v>
      </c>
      <c r="E11" s="2">
        <v>80879</v>
      </c>
    </row>
    <row r="12" spans="1:5" x14ac:dyDescent="0.3">
      <c r="B12" s="1"/>
      <c r="C12" s="1"/>
      <c r="D12" s="1"/>
      <c r="E12" s="1"/>
    </row>
    <row r="14" spans="1:5" x14ac:dyDescent="0.3">
      <c r="A14">
        <v>1024</v>
      </c>
      <c r="B14" t="s">
        <v>0</v>
      </c>
      <c r="C14" t="s">
        <v>6</v>
      </c>
      <c r="D14" t="s">
        <v>2</v>
      </c>
      <c r="E14" t="s">
        <v>5</v>
      </c>
    </row>
    <row r="15" spans="1:5" x14ac:dyDescent="0.3">
      <c r="A15" t="s">
        <v>3</v>
      </c>
      <c r="B15">
        <f>B2*B2/B6</f>
        <v>457.97297083586284</v>
      </c>
      <c r="C15">
        <f>C2*C2/C6</f>
        <v>6784.3754844827272</v>
      </c>
      <c r="D15">
        <f>D2*2</f>
        <v>0.39715400000000001</v>
      </c>
    </row>
    <row r="16" spans="1:5" x14ac:dyDescent="0.3">
      <c r="A16" t="s">
        <v>4</v>
      </c>
      <c r="B16">
        <f>B3*2</f>
        <v>1318.9051179999999</v>
      </c>
      <c r="C16">
        <f>C3*2</f>
        <v>3076.75</v>
      </c>
      <c r="D16">
        <f>D3*D7/D11</f>
        <v>0.28202391678431282</v>
      </c>
      <c r="E16">
        <f>E3*E3/E7</f>
        <v>641242.12534174812</v>
      </c>
    </row>
    <row r="18" spans="2:4" x14ac:dyDescent="0.3">
      <c r="B18">
        <f>SUM(B15:B16)</f>
        <v>1776.8780888358629</v>
      </c>
      <c r="C18">
        <f>SUM(C15:C16)</f>
        <v>9861.1254844827272</v>
      </c>
      <c r="D18">
        <f>D15+D16</f>
        <v>0.67917791678431283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</dc:creator>
  <cp:lastModifiedBy>luck</cp:lastModifiedBy>
  <dcterms:created xsi:type="dcterms:W3CDTF">2026-01-08T12:15:04Z</dcterms:created>
  <dcterms:modified xsi:type="dcterms:W3CDTF">2026-01-10T03:54:04Z</dcterms:modified>
</cp:coreProperties>
</file>